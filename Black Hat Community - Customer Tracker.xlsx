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ient Lookup" sheetId="2" state="visible" r:id="rId4"/>
    <sheet name="Customer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<sst xmlns="http://schemas.openxmlformats.org/spreadsheetml/2006/main" count="84" uniqueCount="64">
  <si>
    <t xml:space="preserve">Black Hat Community — Dashboard</t>
  </si>
  <si>
    <t xml:space="preserve">Live counts pulled from the Customer Log sheet. The example row (row 4) is intentionally excluded from every count below.</t>
  </si>
  <si>
    <t xml:space="preserve">Overview</t>
  </si>
  <si>
    <t xml:space="preserve">Total Customers</t>
  </si>
  <si>
    <t xml:space="preserve">Paid</t>
  </si>
  <si>
    <t xml:space="preserve">Unpaid</t>
  </si>
  <si>
    <t xml:space="preserve">Total Revenue Collected</t>
  </si>
  <si>
    <t xml:space="preserve">By Tier &amp; Product</t>
  </si>
  <si>
    <t xml:space="preserve">Personal</t>
  </si>
  <si>
    <t xml:space="preserve">Business</t>
  </si>
  <si>
    <t xml:space="preserve">Cards</t>
  </si>
  <si>
    <t xml:space="preserve">Bracelets</t>
  </si>
  <si>
    <t xml:space="preserve">Support &amp; Follow-Up</t>
  </si>
  <si>
    <t xml:space="preserve">Subscribed to Support</t>
  </si>
  <si>
    <t xml:space="preserve">No Free Updates Left</t>
  </si>
  <si>
    <t xml:space="preserve">Missing Email</t>
  </si>
  <si>
    <t xml:space="preserve">Missing Phone</t>
  </si>
  <si>
    <t xml:space="preserve">At/Near Quarterly Cap (5)</t>
  </si>
  <si>
    <t xml:space="preserve">Customers by State</t>
  </si>
  <si>
    <t xml:space="preserve">(Filter or sort the Customer Log's State column directly for a full breakdown — this is just a quick look at your top few.)</t>
  </si>
  <si>
    <t xml:space="preserve">State</t>
  </si>
  <si>
    <t xml:space="preserve">Count</t>
  </si>
  <si>
    <t xml:space="preserve">Type a state abbreviation into column A below to see its count — add as many rows as you like.</t>
  </si>
  <si>
    <t xml:space="preserve">NC</t>
  </si>
  <si>
    <t xml:space="preserve">VA</t>
  </si>
  <si>
    <t xml:space="preserve">SC</t>
  </si>
  <si>
    <t xml:space="preserve">Client Lookup</t>
  </si>
  <si>
    <t xml:space="preserve">Pick a name below — every field updates from the Customer Log automatically.</t>
  </si>
  <si>
    <t xml:space="preserve">Select a client:</t>
  </si>
  <si>
    <t xml:space="preserve">Folder Name</t>
  </si>
  <si>
    <t xml:space="preserve">Product Type</t>
  </si>
  <si>
    <t xml:space="preserve">Tier</t>
  </si>
  <si>
    <t xml:space="preserve">Email</t>
  </si>
  <si>
    <t xml:space="preserve">Phone</t>
  </si>
  <si>
    <t xml:space="preserve">Paid?</t>
  </si>
  <si>
    <t xml:space="preserve">Payment Amount</t>
  </si>
  <si>
    <t xml:space="preserve">Payment Method</t>
  </si>
  <si>
    <t xml:space="preserve">Order Date</t>
  </si>
  <si>
    <t xml:space="preserve">Ship Date</t>
  </si>
  <si>
    <t xml:space="preserve">Support Tier</t>
  </si>
  <si>
    <t xml:space="preserve">Renewal Date</t>
  </si>
  <si>
    <t xml:space="preserve">Free Updates Used</t>
  </si>
  <si>
    <t xml:space="preserve">Free Updates Remaining</t>
  </si>
  <si>
    <t xml:space="preserve">Access Token</t>
  </si>
  <si>
    <t xml:space="preserve">Updates Used This Quarter</t>
  </si>
  <si>
    <t xml:space="preserve">Notes</t>
  </si>
  <si>
    <t xml:space="preserve">Customer Log — one row per card. Row 4 (highlighted) is an example — replace it with your first real entry, or delete the row once you have real ones.</t>
  </si>
  <si>
    <t xml:space="preserve">Free updates included per card:</t>
  </si>
  <si>
    <t xml:space="preserve">← change this once, every row's remaining-updates count updates automatically</t>
  </si>
  <si>
    <t xml:space="preserve">Name</t>
  </si>
  <si>
    <t xml:space="preserve">Updates Used
This Quarter</t>
  </si>
  <si>
    <t xml:space="preserve">Angela Hanks</t>
  </si>
  <si>
    <t xml:space="preserve">angela-hanks</t>
  </si>
  <si>
    <t xml:space="preserve">Card</t>
  </si>
  <si>
    <t xml:space="preserve">ahanks@therealestate-co.com</t>
  </si>
  <si>
    <t xml:space="preserve">(252) 433-7769</t>
  </si>
  <si>
    <t xml:space="preserve">Yes</t>
  </si>
  <si>
    <t xml:space="preserve">Zelle</t>
  </si>
  <si>
    <t xml:space="preserve">2026-03-01</t>
  </si>
  <si>
    <t xml:space="preserve">2026-03-10</t>
  </si>
  <si>
    <t xml:space="preserve">Subscribed</t>
  </si>
  <si>
    <t xml:space="preserve">2027-03-01</t>
  </si>
  <si>
    <t xml:space="preserve">9vzymqtw</t>
  </si>
  <si>
    <t xml:space="preserve">Realtor — added 3 listings so far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</si>
</sst>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$#,##0"/>
    <numFmt numFmtId="167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9.5"/>
      <color rgb="FF6B6259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24"/>
      <color rgb="FFB8763F"/>
      <name val="Arial"/>
      <family val="0"/>
      <charset val="1"/>
    </font>
    <font>
      <sz val="10"/>
      <color rgb="FF4B556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4B5563"/>
      <name val="Arial"/>
      <family val="0"/>
      <charset val="1"/>
    </font>
    <font>
      <b val="true"/>
      <sz val="13"/>
      <color rgb="FFB8763F"/>
      <name val="Arial"/>
      <family val="0"/>
      <charset val="1"/>
    </font>
    <font>
      <sz val="12"/>
      <color rgb="FF1F2937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1"/>
      <color rgb="FFB8763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1EC"/>
        <bgColor rgb="FFFFF9E6"/>
      </patternFill>
    </fill>
    <fill>
      <patternFill patternType="solid">
        <fgColor rgb="FF1F2937"/>
        <bgColor rgb="FF333300"/>
      </patternFill>
    </fill>
    <fill>
      <patternFill patternType="solid">
        <fgColor rgb="FFFFF9E6"/>
        <bgColor rgb="FFF3F1EC"/>
      </patternFill>
    </fill>
    <fill>
      <patternFill patternType="solid">
        <fgColor rgb="FFFFFFFF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B8763F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4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4" fillId="2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63F"/>
      <rgbColor rgb="FF800080"/>
      <rgbColor rgb="FF008080"/>
      <rgbColor rgb="FFC0C0C0"/>
      <rgbColor rgb="FF808080"/>
      <rgbColor rgb="FF9999FF"/>
      <rgbColor rgb="FF993366"/>
      <rgbColor rgb="FFFFF9E6"/>
      <rgbColor rgb="FFF3F1EC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259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</row>
    <row r="5" customFormat="false" ht="33.75" hidden="false" customHeight="true" outlineLevel="0" collapsed="false">
      <c r="A5" s="5" t="n">
        <f aca="false">COUNTA('Customer Log'!A5:A500)</f>
        <v>0</v>
      </c>
      <c r="B5" s="5"/>
      <c r="C5" s="5" t="n">
        <f aca="false">COUNTIF('Customer Log'!H5:H500,"Yes")</f>
        <v>0</v>
      </c>
      <c r="D5" s="5"/>
      <c r="E5" s="5" t="n">
        <f aca="false">COUNTIF('Customer Log'!H5:H500,"No")</f>
        <v>0</v>
      </c>
      <c r="F5" s="5"/>
      <c r="G5" s="6" t="n">
        <f aca="false">SUMIF('Customer Log'!H5:H500,"Yes",'Customer Log'!I5:I500)</f>
        <v>0</v>
      </c>
      <c r="H5" s="6"/>
    </row>
    <row r="6" customFormat="false" ht="27.75" hidden="false" customHeight="true" outlineLevel="0" collapsed="false">
      <c r="A6" s="7" t="s">
        <v>3</v>
      </c>
      <c r="B6" s="7"/>
      <c r="C6" s="7" t="s">
        <v>4</v>
      </c>
      <c r="D6" s="7"/>
      <c r="E6" s="7" t="s">
        <v>5</v>
      </c>
      <c r="F6" s="7"/>
      <c r="G6" s="7" t="s">
        <v>6</v>
      </c>
      <c r="H6" s="7"/>
    </row>
    <row r="8" customFormat="false" ht="15" hidden="false" customHeight="true" outlineLevel="0" collapsed="false">
      <c r="A8" s="4" t="s">
        <v>7</v>
      </c>
    </row>
    <row r="9" customFormat="false" ht="33.75" hidden="false" customHeight="true" outlineLevel="0" collapsed="false">
      <c r="A9" s="5" t="n">
        <f aca="false">COUNTIF('Customer Log'!D5:D500,"Personal")</f>
        <v>0</v>
      </c>
      <c r="B9" s="5"/>
      <c r="C9" s="5" t="n">
        <f aca="false">COUNTIF('Customer Log'!D5:D500,"Business")</f>
        <v>0</v>
      </c>
      <c r="D9" s="5"/>
      <c r="E9" s="5" t="n">
        <f aca="false">COUNTIF('Customer Log'!C5:C500,"Card")</f>
        <v>0</v>
      </c>
      <c r="F9" s="5"/>
      <c r="G9" s="5" t="n">
        <f aca="false">COUNTIF('Customer Log'!C5:C500,"Bracelet")</f>
        <v>0</v>
      </c>
      <c r="H9" s="5"/>
    </row>
    <row r="10" customFormat="false" ht="27.75" hidden="false" customHeight="true" outlineLevel="0" collapsed="false">
      <c r="A10" s="7" t="s">
        <v>8</v>
      </c>
      <c r="B10" s="7"/>
      <c r="C10" s="7" t="s">
        <v>9</v>
      </c>
      <c r="D10" s="7"/>
      <c r="E10" s="7" t="s">
        <v>10</v>
      </c>
      <c r="F10" s="7"/>
      <c r="G10" s="7" t="s">
        <v>11</v>
      </c>
      <c r="H10" s="7"/>
    </row>
    <row r="12" customFormat="false" ht="15" hidden="false" customHeight="true" outlineLevel="0" collapsed="false">
      <c r="A12" s="4" t="s">
        <v>12</v>
      </c>
    </row>
    <row r="13" customFormat="false" ht="33.75" hidden="false" customHeight="true" outlineLevel="0" collapsed="false">
      <c r="A13" s="5" t="n">
        <f aca="false">COUNTIF('Customer Log'!M5:M500,"Subscribed")</f>
        <v>0</v>
      </c>
      <c r="B13" s="5"/>
      <c r="C13" s="5" t="n">
        <f aca="false">COUNTIF('Customer Log'!P5:P500,0)</f>
        <v>0</v>
      </c>
      <c r="D13" s="5"/>
      <c r="E13" s="5" t="n">
        <f aca="false">COUNTA('Customer Log'!A5:A500)-COUNTA('Customer Log'!F5:F500)</f>
        <v>0</v>
      </c>
      <c r="F13" s="5"/>
      <c r="G13" s="5" t="n">
        <f aca="false">COUNTA('Customer Log'!A5:A500)-COUNTA('Customer Log'!G5:G500)</f>
        <v>0</v>
      </c>
      <c r="H13" s="5"/>
    </row>
    <row r="14" customFormat="false" ht="27.75" hidden="false" customHeight="true" outlineLevel="0" collapsed="false">
      <c r="A14" s="7" t="s">
        <v>13</v>
      </c>
      <c r="B14" s="7"/>
      <c r="C14" s="7" t="s">
        <v>14</v>
      </c>
      <c r="D14" s="7"/>
      <c r="E14" s="7" t="s">
        <v>15</v>
      </c>
      <c r="F14" s="7"/>
      <c r="G14" s="7" t="s">
        <v>16</v>
      </c>
      <c r="H14" s="7"/>
    </row>
    <row r="16" customFormat="false" ht="33.75" hidden="false" customHeight="true" outlineLevel="0" collapsed="false">
      <c r="A16" s="5" t="n">
        <f aca="false">COUNTIFS('Customer Log'!M5:M500,"Subscribed",'Customer Log'!S5:S500,"&gt;=5")</f>
        <v>0</v>
      </c>
      <c r="B16" s="5"/>
      <c r="C16" s="8"/>
      <c r="D16" s="8"/>
      <c r="E16" s="8"/>
      <c r="F16" s="8"/>
      <c r="G16" s="8"/>
      <c r="H16" s="8"/>
    </row>
    <row r="17" customFormat="false" ht="27.75" hidden="false" customHeight="true" outlineLevel="0" collapsed="false">
      <c r="A17" s="7" t="s">
        <v>17</v>
      </c>
      <c r="B17" s="7"/>
      <c r="C17" s="8"/>
      <c r="D17" s="8"/>
      <c r="E17" s="8"/>
      <c r="F17" s="8"/>
      <c r="G17" s="8"/>
      <c r="H17" s="8"/>
    </row>
    <row r="18" customFormat="false" ht="15" hidden="false" customHeight="true" outlineLevel="0" collapsed="false">
      <c r="A18" s="4" t="s">
        <v>18</v>
      </c>
    </row>
    <row r="19" customFormat="false" ht="15" hidden="false" customHeight="true" outlineLevel="0" collapsed="false">
      <c r="A19" s="3" t="s">
        <v>19</v>
      </c>
      <c r="B19" s="3"/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A20" s="9" t="s">
        <v>20</v>
      </c>
      <c r="B20" s="9" t="s">
        <v>21</v>
      </c>
      <c r="C20" s="3" t="s">
        <v>22</v>
      </c>
      <c r="D20" s="3"/>
      <c r="E20" s="3"/>
      <c r="F20" s="3"/>
      <c r="G20" s="3"/>
      <c r="H20" s="3"/>
    </row>
    <row r="21" customFormat="false" ht="15" hidden="false" customHeight="true" outlineLevel="0" collapsed="false">
      <c r="A21" s="10" t="s">
        <v>23</v>
      </c>
      <c r="B21" s="11" t="n">
        <f aca="false">COUNTIF('Customer Log'!E5:E500,A21)</f>
        <v>0</v>
      </c>
    </row>
    <row r="22" customFormat="false" ht="15" hidden="false" customHeight="true" outlineLevel="0" collapsed="false">
      <c r="A22" s="10" t="s">
        <v>24</v>
      </c>
      <c r="B22" s="11" t="n">
        <f aca="false">COUNTIF('Customer Log'!E5:E500,A22)</f>
        <v>0</v>
      </c>
    </row>
    <row r="23" customFormat="false" ht="15" hidden="false" customHeight="true" outlineLevel="0" collapsed="false">
      <c r="A23" s="10" t="s">
        <v>25</v>
      </c>
      <c r="B23" s="11" t="n">
        <f aca="false">COUNTIF('Customer Log'!E5:E500,A23)</f>
        <v>0</v>
      </c>
    </row>
    <row r="24" customFormat="false" ht="15" hidden="false" customHeight="true" outlineLevel="0" collapsed="false">
      <c r="A24" s="12"/>
      <c r="B24" s="13" t="str">
        <f aca="false">IF(A24="","",COUNTIF('Customer Log'!E5:E500,A24))</f>
        <v/>
      </c>
    </row>
    <row r="25" customFormat="false" ht="15" hidden="false" customHeight="true" outlineLevel="0" collapsed="false">
      <c r="A25" s="12"/>
      <c r="B25" s="13" t="str">
        <f aca="false">IF(A25="","",COUNTIF('Customer Log'!E5:E500,A25))</f>
        <v/>
      </c>
    </row>
    <row r="26" customFormat="false" ht="15" hidden="false" customHeight="true" outlineLevel="0" collapsed="false">
      <c r="A26" s="12"/>
      <c r="B26" s="13" t="str">
        <f aca="false">IF(A26="","",COUNTIF('Customer Log'!E5:E500,A26))</f>
        <v/>
      </c>
    </row>
  </sheetData>
  <mergeCells count="30">
    <mergeCell ref="A1:H1"/>
    <mergeCell ref="A2:H2"/>
    <mergeCell ref="A5:B5"/>
    <mergeCell ref="C5:D5"/>
    <mergeCell ref="E5:F5"/>
    <mergeCell ref="G5:H5"/>
    <mergeCell ref="A6:B6"/>
    <mergeCell ref="C6:D6"/>
    <mergeCell ref="E6:F6"/>
    <mergeCell ref="G6:H6"/>
    <mergeCell ref="A9:B9"/>
    <mergeCell ref="C9:D9"/>
    <mergeCell ref="E9:F9"/>
    <mergeCell ref="G9:H9"/>
    <mergeCell ref="A10:B10"/>
    <mergeCell ref="C10:D10"/>
    <mergeCell ref="E10:F10"/>
    <mergeCell ref="G10:H10"/>
    <mergeCell ref="A13:B13"/>
    <mergeCell ref="C13:D13"/>
    <mergeCell ref="E13:F13"/>
    <mergeCell ref="G13:H13"/>
    <mergeCell ref="A14:B14"/>
    <mergeCell ref="C14:D14"/>
    <mergeCell ref="E14:F14"/>
    <mergeCell ref="G14:H14"/>
    <mergeCell ref="A16:B16"/>
    <mergeCell ref="A17:B17"/>
    <mergeCell ref="A19:H19"/>
    <mergeCell ref="C20:H2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24"/>
  </cols>
  <sheetData>
    <row r="1" customFormat="false" ht="21.75" hidden="false" customHeight="true" outlineLevel="0" collapsed="false">
      <c r="A1" s="2" t="s">
        <v>26</v>
      </c>
      <c r="B1" s="2"/>
      <c r="C1" s="2"/>
      <c r="D1" s="2"/>
    </row>
    <row r="2" customFormat="false" ht="15" hidden="false" customHeight="true" outlineLevel="0" collapsed="false">
      <c r="A2" s="3" t="s">
        <v>27</v>
      </c>
      <c r="B2" s="3"/>
      <c r="C2" s="3"/>
      <c r="D2" s="3"/>
    </row>
    <row r="4" customFormat="false" ht="25.5" hidden="false" customHeight="true" outlineLevel="0" collapsed="false">
      <c r="A4" s="14" t="s">
        <v>28</v>
      </c>
      <c r="B4" s="15"/>
      <c r="C4" s="15"/>
      <c r="D4" s="15"/>
    </row>
    <row r="6" customFormat="false" ht="15" hidden="false" customHeight="true" outlineLevel="0" collapsed="false">
      <c r="A6" s="16" t="s">
        <v>29</v>
      </c>
      <c r="B6" s="17" t="str">
        <f aca="false">IFERROR(INDEX('Customer Log'!B$4:B$50,MATCH($B$4,'Customer Log'!$A$4:$A$50,0)),"")</f>
        <v/>
      </c>
      <c r="C6" s="17"/>
      <c r="D6" s="17"/>
    </row>
    <row r="7" customFormat="false" ht="15" hidden="false" customHeight="true" outlineLevel="0" collapsed="false">
      <c r="A7" s="16" t="s">
        <v>30</v>
      </c>
      <c r="B7" s="17" t="str">
        <f aca="false">IFERROR(INDEX('Customer Log'!C$4:C$50,MATCH($B$4,'Customer Log'!$A$4:$A$50,0)),"")</f>
        <v/>
      </c>
      <c r="C7" s="17"/>
      <c r="D7" s="17"/>
    </row>
    <row r="8" customFormat="false" ht="15" hidden="false" customHeight="true" outlineLevel="0" collapsed="false">
      <c r="A8" s="16" t="s">
        <v>31</v>
      </c>
      <c r="B8" s="17" t="str">
        <f aca="false">IFERROR(INDEX('Customer Log'!D$4:D$50,MATCH($B$4,'Customer Log'!$A$4:$A$50,0)),"")</f>
        <v/>
      </c>
      <c r="C8" s="17"/>
      <c r="D8" s="17"/>
    </row>
    <row r="9" customFormat="false" ht="15" hidden="false" customHeight="true" outlineLevel="0" collapsed="false">
      <c r="A9" s="16" t="s">
        <v>20</v>
      </c>
      <c r="B9" s="17" t="str">
        <f aca="false">IFERROR(INDEX('Customer Log'!E$4:E$50,MATCH($B$4,'Customer Log'!$A$4:$A$50,0)),"")</f>
        <v/>
      </c>
      <c r="C9" s="17"/>
      <c r="D9" s="17"/>
    </row>
    <row r="10" customFormat="false" ht="15" hidden="false" customHeight="true" outlineLevel="0" collapsed="false">
      <c r="A10" s="16" t="s">
        <v>32</v>
      </c>
      <c r="B10" s="17" t="str">
        <f aca="false">IFERROR(INDEX('Customer Log'!F$4:F$50,MATCH($B$4,'Customer Log'!$A$4:$A$50,0)),"")</f>
        <v/>
      </c>
      <c r="C10" s="17"/>
      <c r="D10" s="17"/>
    </row>
    <row r="11" customFormat="false" ht="15" hidden="false" customHeight="true" outlineLevel="0" collapsed="false">
      <c r="A11" s="16" t="s">
        <v>33</v>
      </c>
      <c r="B11" s="17" t="str">
        <f aca="false">IFERROR(INDEX('Customer Log'!G$4:G$50,MATCH($B$4,'Customer Log'!$A$4:$A$50,0)),"")</f>
        <v/>
      </c>
      <c r="C11" s="17"/>
      <c r="D11" s="17"/>
    </row>
    <row r="12" customFormat="false" ht="15" hidden="false" customHeight="true" outlineLevel="0" collapsed="false">
      <c r="A12" s="16" t="s">
        <v>34</v>
      </c>
      <c r="B12" s="17" t="str">
        <f aca="false">IFERROR(INDEX('Customer Log'!H$4:H$50,MATCH($B$4,'Customer Log'!$A$4:$A$50,0)),"")</f>
        <v/>
      </c>
      <c r="C12" s="17"/>
      <c r="D12" s="17"/>
    </row>
    <row r="13" customFormat="false" ht="15" hidden="false" customHeight="true" outlineLevel="0" collapsed="false">
      <c r="A13" s="16" t="s">
        <v>35</v>
      </c>
      <c r="B13" s="18" t="str">
        <f aca="false">IFERROR(INDEX('Customer Log'!I$4:I$50,MATCH($B$4,'Customer Log'!$A$4:$A$50,0)),"")</f>
        <v/>
      </c>
      <c r="C13" s="18"/>
      <c r="D13" s="18"/>
    </row>
    <row r="14" customFormat="false" ht="15" hidden="false" customHeight="true" outlineLevel="0" collapsed="false">
      <c r="A14" s="16" t="s">
        <v>36</v>
      </c>
      <c r="B14" s="17" t="str">
        <f aca="false">IFERROR(INDEX('Customer Log'!J$4:J$50,MATCH($B$4,'Customer Log'!$A$4:$A$50,0)),"")</f>
        <v/>
      </c>
      <c r="C14" s="17"/>
      <c r="D14" s="17"/>
    </row>
    <row r="15" customFormat="false" ht="15" hidden="false" customHeight="true" outlineLevel="0" collapsed="false">
      <c r="A15" s="16" t="s">
        <v>37</v>
      </c>
      <c r="B15" s="19" t="str">
        <f aca="false">IFERROR(INDEX('Customer Log'!K$4:K$50,MATCH($B$4,'Customer Log'!$A$4:$A$50,0)),"")</f>
        <v/>
      </c>
      <c r="C15" s="19"/>
      <c r="D15" s="19"/>
    </row>
    <row r="16" customFormat="false" ht="15" hidden="false" customHeight="true" outlineLevel="0" collapsed="false">
      <c r="A16" s="16" t="s">
        <v>38</v>
      </c>
      <c r="B16" s="19" t="str">
        <f aca="false">IFERROR(INDEX('Customer Log'!L$4:L$50,MATCH($B$4,'Customer Log'!$A$4:$A$50,0)),"")</f>
        <v/>
      </c>
      <c r="C16" s="19"/>
      <c r="D16" s="19"/>
    </row>
    <row r="17" customFormat="false" ht="15" hidden="false" customHeight="true" outlineLevel="0" collapsed="false">
      <c r="A17" s="16" t="s">
        <v>39</v>
      </c>
      <c r="B17" s="17" t="str">
        <f aca="false">IFERROR(INDEX('Customer Log'!M$4:M$50,MATCH($B$4,'Customer Log'!$A$4:$A$50,0)),"")</f>
        <v/>
      </c>
      <c r="C17" s="17"/>
      <c r="D17" s="17"/>
    </row>
    <row r="18" customFormat="false" ht="15" hidden="false" customHeight="true" outlineLevel="0" collapsed="false">
      <c r="A18" s="16" t="s">
        <v>40</v>
      </c>
      <c r="B18" s="19" t="str">
        <f aca="false">IFERROR(INDEX('Customer Log'!N$4:N$50,MATCH($B$4,'Customer Log'!$A$4:$A$50,0)),"")</f>
        <v/>
      </c>
      <c r="C18" s="19"/>
      <c r="D18" s="19"/>
    </row>
    <row r="19" customFormat="false" ht="15" hidden="false" customHeight="true" outlineLevel="0" collapsed="false">
      <c r="A19" s="16" t="s">
        <v>41</v>
      </c>
      <c r="B19" s="17" t="str">
        <f aca="false">IFERROR(INDEX('Customer Log'!O$4:O$50,MATCH($B$4,'Customer Log'!$A$4:$A$50,0)),"")</f>
        <v/>
      </c>
      <c r="C19" s="17"/>
      <c r="D19" s="17"/>
    </row>
    <row r="20" customFormat="false" ht="15" hidden="false" customHeight="true" outlineLevel="0" collapsed="false">
      <c r="A20" s="16" t="s">
        <v>42</v>
      </c>
      <c r="B20" s="17" t="str">
        <f aca="false">IFERROR(INDEX('Customer Log'!P$4:P$50,MATCH($B$4,'Customer Log'!$A$4:$A$50,0)),"")</f>
        <v/>
      </c>
      <c r="C20" s="17"/>
      <c r="D20" s="17"/>
    </row>
    <row r="21" customFormat="false" ht="15" hidden="false" customHeight="true" outlineLevel="0" collapsed="false">
      <c r="A21" s="16" t="s">
        <v>43</v>
      </c>
      <c r="B21" s="17" t="str">
        <f aca="false">IFERROR(INDEX('Customer Log'!Q$4:Q$50,MATCH($B$4,'Customer Log'!$A$4:$A$50,0)),"")</f>
        <v/>
      </c>
      <c r="C21" s="17"/>
      <c r="D21" s="17"/>
    </row>
    <row r="22" customFormat="false" ht="49.5" hidden="false" customHeight="true" outlineLevel="0" collapsed="false">
      <c r="A22" s="16" t="s">
        <v>44</v>
      </c>
      <c r="B22" s="17" t="str">
        <f aca="false">IFERROR(INDEX('Customer Log'!S$4:S$50,MATCH($B$4,'Customer Log'!$A$4:$A$50,0)),"")</f>
        <v/>
      </c>
      <c r="C22" s="17"/>
      <c r="D22" s="17"/>
    </row>
    <row r="23" customFormat="false" ht="49.5" hidden="false" customHeight="true" outlineLevel="0" collapsed="false">
      <c r="A23" s="20" t="s">
        <v>45</v>
      </c>
      <c r="B23" s="21" t="str">
        <f aca="false">IFERROR(INDEX('Customer Log'!R$4:R$50,MATCH($B$4,'Customer Log'!$A$4:$A$50,0)),"")</f>
        <v/>
      </c>
      <c r="C23" s="21"/>
      <c r="D23" s="21"/>
    </row>
  </sheetData>
  <mergeCells count="21">
    <mergeCell ref="A1:D1"/>
    <mergeCell ref="A2:D2"/>
    <mergeCell ref="B4:D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</mergeCells>
  <dataValidations count="1">
    <dataValidation allowBlank="true" error="Please choose a name from the dropdown list." errorStyle="stop" errorTitle="Invalid entry" operator="between" showDropDown="false" showErrorMessage="false" showInputMessage="false" sqref="B4" type="list">
      <formula1>'Customer Log'!$A$4:$A$50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8" min="8" style="1" width="8"/>
    <col collapsed="false" customWidth="true" hidden="false" outlineLevel="0" max="10" min="9" style="1" width="14"/>
    <col collapsed="false" customWidth="true" hidden="false" outlineLevel="0" max="15" min="11" style="1" width="12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24"/>
    <col collapsed="false" customWidth="true" hidden="false" outlineLevel="0" max="19" min="19" style="1" width="16"/>
  </cols>
  <sheetData>
    <row r="1" customFormat="false" ht="15" hidden="false" customHeight="true" outlineLevel="0" collapsed="false">
      <c r="A1" s="3" t="s">
        <v>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" hidden="false" customHeight="true" outlineLevel="0" collapsed="false">
      <c r="A2" s="22" t="s">
        <v>47</v>
      </c>
      <c r="B2" s="23" t="n">
        <v>2</v>
      </c>
      <c r="C2" s="3" t="s">
        <v>48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1.5" hidden="false" customHeight="true" outlineLevel="0" collapsed="false">
      <c r="A3" s="24" t="s">
        <v>49</v>
      </c>
      <c r="B3" s="24" t="s">
        <v>29</v>
      </c>
      <c r="C3" s="24" t="s">
        <v>30</v>
      </c>
      <c r="D3" s="24" t="s">
        <v>31</v>
      </c>
      <c r="E3" s="24" t="s">
        <v>20</v>
      </c>
      <c r="F3" s="24" t="s">
        <v>32</v>
      </c>
      <c r="G3" s="24" t="s">
        <v>33</v>
      </c>
      <c r="H3" s="24" t="s">
        <v>34</v>
      </c>
      <c r="I3" s="24" t="s">
        <v>35</v>
      </c>
      <c r="J3" s="24" t="s">
        <v>36</v>
      </c>
      <c r="K3" s="24" t="s">
        <v>37</v>
      </c>
      <c r="L3" s="24" t="s">
        <v>38</v>
      </c>
      <c r="M3" s="24" t="s">
        <v>39</v>
      </c>
      <c r="N3" s="24" t="s">
        <v>40</v>
      </c>
      <c r="O3" s="24" t="s">
        <v>41</v>
      </c>
      <c r="P3" s="24" t="s">
        <v>42</v>
      </c>
      <c r="Q3" s="24" t="s">
        <v>43</v>
      </c>
      <c r="R3" s="24" t="s">
        <v>45</v>
      </c>
      <c r="S3" s="24" t="s">
        <v>50</v>
      </c>
    </row>
    <row r="4" customFormat="false" ht="15" hidden="false" customHeight="true" outlineLevel="0" collapsed="false">
      <c r="A4" s="25" t="s">
        <v>51</v>
      </c>
      <c r="B4" s="25" t="s">
        <v>52</v>
      </c>
      <c r="C4" s="10" t="s">
        <v>53</v>
      </c>
      <c r="D4" s="10" t="s">
        <v>9</v>
      </c>
      <c r="E4" s="10" t="s">
        <v>23</v>
      </c>
      <c r="F4" s="25" t="s">
        <v>54</v>
      </c>
      <c r="G4" s="10" t="s">
        <v>55</v>
      </c>
      <c r="H4" s="10" t="s">
        <v>56</v>
      </c>
      <c r="I4" s="26" t="n">
        <v>50</v>
      </c>
      <c r="J4" s="10" t="s">
        <v>57</v>
      </c>
      <c r="K4" s="27" t="s">
        <v>58</v>
      </c>
      <c r="L4" s="27" t="s">
        <v>59</v>
      </c>
      <c r="M4" s="10" t="s">
        <v>60</v>
      </c>
      <c r="N4" s="27" t="s">
        <v>61</v>
      </c>
      <c r="O4" s="10" t="n">
        <v>1</v>
      </c>
      <c r="P4" s="10" t="n">
        <f aca="false">MAX(0,$B$2-O4)</f>
        <v>1</v>
      </c>
      <c r="Q4" s="10" t="s">
        <v>62</v>
      </c>
      <c r="R4" s="25" t="s">
        <v>63</v>
      </c>
      <c r="S4" s="10" t="n">
        <v>2</v>
      </c>
    </row>
    <row r="5" customFormat="false" ht="1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9"/>
      <c r="J5" s="28"/>
      <c r="K5" s="30"/>
      <c r="L5" s="30"/>
      <c r="M5" s="28"/>
      <c r="N5" s="30"/>
      <c r="O5" s="28"/>
      <c r="P5" s="28" t="n">
        <f aca="false">MAX(0,$B$2-O5)</f>
        <v>2</v>
      </c>
      <c r="Q5" s="28"/>
      <c r="R5" s="28"/>
      <c r="S5" s="28"/>
    </row>
    <row r="6" customFormat="false" ht="1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2"/>
      <c r="J6" s="31"/>
      <c r="K6" s="33"/>
      <c r="L6" s="33"/>
      <c r="M6" s="31"/>
      <c r="N6" s="33"/>
      <c r="O6" s="31"/>
      <c r="P6" s="31" t="n">
        <f aca="false">MAX(0,$B$2-O6)</f>
        <v>2</v>
      </c>
      <c r="Q6" s="31"/>
      <c r="R6" s="31"/>
      <c r="S6" s="31"/>
    </row>
    <row r="7" customFormat="false" ht="15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9"/>
      <c r="J7" s="28"/>
      <c r="K7" s="30"/>
      <c r="L7" s="30"/>
      <c r="M7" s="28"/>
      <c r="N7" s="30"/>
      <c r="O7" s="28"/>
      <c r="P7" s="28" t="n">
        <f aca="false">MAX(0,$B$2-O7)</f>
        <v>2</v>
      </c>
      <c r="Q7" s="28"/>
      <c r="R7" s="28"/>
      <c r="S7" s="28"/>
    </row>
    <row r="8" customFormat="false" ht="1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5"/>
      <c r="J8" s="34"/>
      <c r="K8" s="36"/>
      <c r="L8" s="36"/>
      <c r="M8" s="34"/>
      <c r="N8" s="36"/>
      <c r="O8" s="34"/>
      <c r="P8" s="31" t="n">
        <f aca="false">MAX(0,$B$2-O8)</f>
        <v>2</v>
      </c>
      <c r="Q8" s="37"/>
      <c r="R8" s="34"/>
      <c r="S8" s="31"/>
    </row>
    <row r="9" customFormat="false" ht="15" hidden="false" customHeight="true" outlineLevel="0" collapsed="false">
      <c r="A9" s="38"/>
      <c r="B9" s="38"/>
      <c r="C9" s="38"/>
      <c r="D9" s="38"/>
      <c r="E9" s="38"/>
      <c r="F9" s="38"/>
      <c r="G9" s="38"/>
      <c r="H9" s="38"/>
      <c r="I9" s="39"/>
      <c r="J9" s="38"/>
      <c r="K9" s="40"/>
      <c r="L9" s="40"/>
      <c r="M9" s="38"/>
      <c r="N9" s="40"/>
      <c r="O9" s="38"/>
      <c r="P9" s="28" t="n">
        <f aca="false">MAX(0,$B$2-O9)</f>
        <v>2</v>
      </c>
      <c r="Q9" s="41"/>
      <c r="R9" s="38"/>
      <c r="S9" s="28"/>
    </row>
    <row r="10" customFormat="false" ht="15" hidden="false" customHeight="true" outlineLevel="0" collapsed="false">
      <c r="A10" s="34"/>
      <c r="B10" s="34"/>
      <c r="C10" s="34"/>
      <c r="D10" s="34"/>
      <c r="E10" s="34"/>
      <c r="F10" s="34"/>
      <c r="G10" s="34"/>
      <c r="H10" s="34"/>
      <c r="I10" s="35"/>
      <c r="J10" s="34"/>
      <c r="K10" s="36"/>
      <c r="L10" s="36"/>
      <c r="M10" s="34"/>
      <c r="N10" s="36"/>
      <c r="O10" s="34"/>
      <c r="P10" s="31" t="n">
        <f aca="false">MAX(0,$B$2-O10)</f>
        <v>2</v>
      </c>
      <c r="Q10" s="37"/>
      <c r="R10" s="34"/>
      <c r="S10" s="31"/>
    </row>
    <row r="11" customFormat="false" ht="15" hidden="false" customHeight="true" outlineLevel="0" collapsed="false">
      <c r="A11" s="38"/>
      <c r="B11" s="38"/>
      <c r="C11" s="38"/>
      <c r="D11" s="38"/>
      <c r="E11" s="38"/>
      <c r="F11" s="38"/>
      <c r="G11" s="38"/>
      <c r="H11" s="38"/>
      <c r="I11" s="39"/>
      <c r="J11" s="38"/>
      <c r="K11" s="40"/>
      <c r="L11" s="40"/>
      <c r="M11" s="38"/>
      <c r="N11" s="40"/>
      <c r="O11" s="38"/>
      <c r="P11" s="28" t="n">
        <f aca="false">MAX(0,$B$2-O11)</f>
        <v>2</v>
      </c>
      <c r="Q11" s="41"/>
      <c r="R11" s="38"/>
      <c r="S11" s="28"/>
    </row>
    <row r="12" customFormat="false" ht="15" hidden="false" customHeight="true" outlineLevel="0" collapsed="false">
      <c r="A12" s="34"/>
      <c r="B12" s="34"/>
      <c r="C12" s="34"/>
      <c r="D12" s="34"/>
      <c r="E12" s="34"/>
      <c r="F12" s="34"/>
      <c r="G12" s="34"/>
      <c r="H12" s="34"/>
      <c r="I12" s="35"/>
      <c r="J12" s="34"/>
      <c r="K12" s="36"/>
      <c r="L12" s="36"/>
      <c r="M12" s="34"/>
      <c r="N12" s="36"/>
      <c r="O12" s="34"/>
      <c r="P12" s="31" t="n">
        <f aca="false">MAX(0,$B$2-O12)</f>
        <v>2</v>
      </c>
      <c r="Q12" s="37"/>
      <c r="R12" s="34"/>
      <c r="S12" s="31"/>
    </row>
    <row r="13" customFormat="false" ht="15" hidden="false" customHeight="true" outlineLevel="0" collapsed="false">
      <c r="A13" s="38"/>
      <c r="B13" s="38"/>
      <c r="C13" s="38"/>
      <c r="D13" s="38"/>
      <c r="E13" s="38"/>
      <c r="F13" s="38"/>
      <c r="G13" s="38"/>
      <c r="H13" s="38"/>
      <c r="I13" s="39"/>
      <c r="J13" s="38"/>
      <c r="K13" s="40"/>
      <c r="L13" s="40"/>
      <c r="M13" s="38"/>
      <c r="N13" s="40"/>
      <c r="O13" s="38"/>
      <c r="P13" s="28" t="n">
        <f aca="false">MAX(0,$B$2-O13)</f>
        <v>2</v>
      </c>
      <c r="Q13" s="41"/>
      <c r="R13" s="38"/>
      <c r="S13" s="28"/>
    </row>
    <row r="14" customFormat="false" ht="15" hidden="false" customHeight="true" outlineLevel="0" collapsed="false">
      <c r="A14" s="34"/>
      <c r="B14" s="34"/>
      <c r="C14" s="34"/>
      <c r="D14" s="34"/>
      <c r="E14" s="34"/>
      <c r="F14" s="34"/>
      <c r="G14" s="34"/>
      <c r="H14" s="34"/>
      <c r="I14" s="35"/>
      <c r="J14" s="34"/>
      <c r="K14" s="36"/>
      <c r="L14" s="36"/>
      <c r="M14" s="34"/>
      <c r="N14" s="36"/>
      <c r="O14" s="34"/>
      <c r="P14" s="31" t="n">
        <f aca="false">MAX(0,$B$2-O14)</f>
        <v>2</v>
      </c>
      <c r="Q14" s="37"/>
      <c r="R14" s="34"/>
      <c r="S14" s="31"/>
    </row>
    <row r="15" customFormat="false" ht="15" hidden="false" customHeight="true" outlineLevel="0" collapsed="false">
      <c r="A15" s="38"/>
      <c r="B15" s="38"/>
      <c r="C15" s="38"/>
      <c r="D15" s="38"/>
      <c r="E15" s="38"/>
      <c r="F15" s="38"/>
      <c r="G15" s="38"/>
      <c r="H15" s="38"/>
      <c r="I15" s="39"/>
      <c r="J15" s="38"/>
      <c r="K15" s="40"/>
      <c r="L15" s="40"/>
      <c r="M15" s="38"/>
      <c r="N15" s="40"/>
      <c r="O15" s="38"/>
      <c r="P15" s="28" t="n">
        <f aca="false">MAX(0,$B$2-O15)</f>
        <v>2</v>
      </c>
      <c r="Q15" s="41"/>
      <c r="R15" s="38"/>
      <c r="S15" s="28"/>
    </row>
    <row r="16" customFormat="false" ht="15" hidden="false" customHeight="true" outlineLevel="0" collapsed="false">
      <c r="A16" s="34"/>
      <c r="B16" s="34"/>
      <c r="C16" s="34"/>
      <c r="D16" s="34"/>
      <c r="E16" s="34"/>
      <c r="F16" s="34"/>
      <c r="G16" s="34"/>
      <c r="H16" s="34"/>
      <c r="I16" s="35"/>
      <c r="J16" s="34"/>
      <c r="K16" s="36"/>
      <c r="L16" s="36"/>
      <c r="M16" s="34"/>
      <c r="N16" s="36"/>
      <c r="O16" s="34"/>
      <c r="P16" s="31" t="n">
        <f aca="false">MAX(0,$B$2-O16)</f>
        <v>2</v>
      </c>
      <c r="Q16" s="37"/>
      <c r="R16" s="34"/>
      <c r="S16" s="31"/>
    </row>
    <row r="17" customFormat="false" ht="15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  <c r="I17" s="39"/>
      <c r="J17" s="38"/>
      <c r="K17" s="40"/>
      <c r="L17" s="40"/>
      <c r="M17" s="38"/>
      <c r="N17" s="40"/>
      <c r="O17" s="38"/>
      <c r="P17" s="28" t="n">
        <f aca="false">MAX(0,$B$2-O17)</f>
        <v>2</v>
      </c>
      <c r="Q17" s="41"/>
      <c r="R17" s="38"/>
      <c r="S17" s="28"/>
    </row>
    <row r="18" customFormat="false" ht="15" hidden="false" customHeight="true" outlineLevel="0" collapsed="false">
      <c r="A18" s="34"/>
      <c r="B18" s="34"/>
      <c r="C18" s="34"/>
      <c r="D18" s="34"/>
      <c r="E18" s="34"/>
      <c r="F18" s="34"/>
      <c r="G18" s="34"/>
      <c r="H18" s="34"/>
      <c r="I18" s="35"/>
      <c r="J18" s="34"/>
      <c r="K18" s="36"/>
      <c r="L18" s="36"/>
      <c r="M18" s="34"/>
      <c r="N18" s="36"/>
      <c r="O18" s="34"/>
      <c r="P18" s="31" t="n">
        <f aca="false">MAX(0,$B$2-O18)</f>
        <v>2</v>
      </c>
      <c r="Q18" s="37"/>
      <c r="R18" s="34"/>
      <c r="S18" s="31"/>
    </row>
    <row r="19" customFormat="false" ht="15" hidden="false" customHeight="true" outlineLevel="0" collapsed="false">
      <c r="A19" s="38"/>
      <c r="B19" s="38"/>
      <c r="C19" s="38"/>
      <c r="D19" s="38"/>
      <c r="E19" s="38"/>
      <c r="F19" s="38"/>
      <c r="G19" s="38"/>
      <c r="H19" s="38"/>
      <c r="I19" s="39"/>
      <c r="J19" s="38"/>
      <c r="K19" s="40"/>
      <c r="L19" s="40"/>
      <c r="M19" s="38"/>
      <c r="N19" s="40"/>
      <c r="O19" s="38"/>
      <c r="P19" s="28" t="n">
        <f aca="false">MAX(0,$B$2-O19)</f>
        <v>2</v>
      </c>
      <c r="Q19" s="41"/>
      <c r="R19" s="38"/>
      <c r="S19" s="28"/>
    </row>
    <row r="20" customFormat="false" ht="15" hidden="false" customHeight="true" outlineLevel="0" collapsed="false">
      <c r="A20" s="34"/>
      <c r="B20" s="34"/>
      <c r="C20" s="34"/>
      <c r="D20" s="34"/>
      <c r="E20" s="34"/>
      <c r="F20" s="34"/>
      <c r="G20" s="34"/>
      <c r="H20" s="34"/>
      <c r="I20" s="35"/>
      <c r="J20" s="34"/>
      <c r="K20" s="36"/>
      <c r="L20" s="36"/>
      <c r="M20" s="34"/>
      <c r="N20" s="36"/>
      <c r="O20" s="34"/>
      <c r="P20" s="31" t="n">
        <f aca="false">MAX(0,$B$2-O20)</f>
        <v>2</v>
      </c>
      <c r="Q20" s="37"/>
      <c r="R20" s="34"/>
      <c r="S20" s="31"/>
    </row>
    <row r="21" customFormat="false" ht="1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9"/>
      <c r="J21" s="38"/>
      <c r="K21" s="40"/>
      <c r="L21" s="40"/>
      <c r="M21" s="38"/>
      <c r="N21" s="40"/>
      <c r="O21" s="38"/>
      <c r="P21" s="28" t="n">
        <f aca="false">MAX(0,$B$2-O21)</f>
        <v>2</v>
      </c>
      <c r="Q21" s="41"/>
      <c r="R21" s="38"/>
      <c r="S21" s="28"/>
    </row>
    <row r="22" customFormat="false" ht="15" hidden="false" customHeight="true" outlineLevel="0" collapsed="false">
      <c r="A22" s="34"/>
      <c r="B22" s="34"/>
      <c r="C22" s="34"/>
      <c r="D22" s="34"/>
      <c r="E22" s="34"/>
      <c r="F22" s="34"/>
      <c r="G22" s="34"/>
      <c r="H22" s="34"/>
      <c r="I22" s="35"/>
      <c r="J22" s="34"/>
      <c r="K22" s="36"/>
      <c r="L22" s="36"/>
      <c r="M22" s="34"/>
      <c r="N22" s="36"/>
      <c r="O22" s="34"/>
      <c r="P22" s="31" t="n">
        <f aca="false">MAX(0,$B$2-O22)</f>
        <v>2</v>
      </c>
      <c r="Q22" s="37"/>
      <c r="R22" s="34"/>
      <c r="S22" s="31"/>
    </row>
    <row r="23" customFormat="false" ht="1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9"/>
      <c r="J23" s="38"/>
      <c r="K23" s="40"/>
      <c r="L23" s="40"/>
      <c r="M23" s="38"/>
      <c r="N23" s="40"/>
      <c r="O23" s="38"/>
      <c r="P23" s="28" t="n">
        <f aca="false">MAX(0,$B$2-O23)</f>
        <v>2</v>
      </c>
      <c r="Q23" s="41"/>
      <c r="R23" s="38"/>
      <c r="S23" s="28"/>
    </row>
    <row r="24" customFormat="false" ht="15" hidden="false" customHeight="true" outlineLevel="0" collapsed="false">
      <c r="A24" s="34"/>
      <c r="B24" s="34"/>
      <c r="C24" s="34"/>
      <c r="D24" s="34"/>
      <c r="E24" s="34"/>
      <c r="F24" s="34"/>
      <c r="G24" s="34"/>
      <c r="H24" s="34"/>
      <c r="I24" s="35"/>
      <c r="J24" s="34"/>
      <c r="K24" s="36"/>
      <c r="L24" s="36"/>
      <c r="M24" s="34"/>
      <c r="N24" s="36"/>
      <c r="O24" s="34"/>
      <c r="P24" s="31" t="n">
        <f aca="false">MAX(0,$B$2-O24)</f>
        <v>2</v>
      </c>
      <c r="Q24" s="37"/>
      <c r="R24" s="34"/>
      <c r="S24" s="31"/>
    </row>
    <row r="25" customFormat="false" ht="15" hidden="false" customHeight="true" outlineLevel="0" collapsed="false">
      <c r="A25" s="38"/>
      <c r="B25" s="38"/>
      <c r="C25" s="38"/>
      <c r="D25" s="38"/>
      <c r="E25" s="38"/>
      <c r="F25" s="38"/>
      <c r="G25" s="38"/>
      <c r="H25" s="38"/>
      <c r="I25" s="39"/>
      <c r="J25" s="38"/>
      <c r="K25" s="40"/>
      <c r="L25" s="40"/>
      <c r="M25" s="38"/>
      <c r="N25" s="40"/>
      <c r="O25" s="38"/>
      <c r="P25" s="28" t="n">
        <f aca="false">MAX(0,$B$2-O25)</f>
        <v>2</v>
      </c>
      <c r="Q25" s="41"/>
      <c r="R25" s="38"/>
      <c r="S25" s="28"/>
    </row>
    <row r="26" customFormat="false" ht="15" hidden="false" customHeight="true" outlineLevel="0" collapsed="false">
      <c r="A26" s="34"/>
      <c r="B26" s="34"/>
      <c r="C26" s="34"/>
      <c r="D26" s="34"/>
      <c r="E26" s="34"/>
      <c r="F26" s="34"/>
      <c r="G26" s="34"/>
      <c r="H26" s="34"/>
      <c r="I26" s="35"/>
      <c r="J26" s="34"/>
      <c r="K26" s="36"/>
      <c r="L26" s="36"/>
      <c r="M26" s="34"/>
      <c r="N26" s="36"/>
      <c r="O26" s="34"/>
      <c r="P26" s="31" t="n">
        <f aca="false">MAX(0,$B$2-O26)</f>
        <v>2</v>
      </c>
      <c r="Q26" s="37"/>
      <c r="R26" s="34"/>
      <c r="S26" s="31"/>
    </row>
    <row r="27" customFormat="false" ht="1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9"/>
      <c r="J27" s="38"/>
      <c r="K27" s="40"/>
      <c r="L27" s="40"/>
      <c r="M27" s="38"/>
      <c r="N27" s="40"/>
      <c r="O27" s="38"/>
      <c r="P27" s="28" t="n">
        <f aca="false">MAX(0,$B$2-O27)</f>
        <v>2</v>
      </c>
      <c r="Q27" s="41"/>
      <c r="R27" s="38"/>
      <c r="S27" s="28"/>
    </row>
    <row r="28" customFormat="false" ht="15" hidden="false" customHeight="true" outlineLevel="0" collapsed="false">
      <c r="A28" s="34"/>
      <c r="B28" s="34"/>
      <c r="C28" s="34"/>
      <c r="D28" s="34"/>
      <c r="E28" s="34"/>
      <c r="F28" s="34"/>
      <c r="G28" s="34"/>
      <c r="H28" s="34"/>
      <c r="I28" s="35"/>
      <c r="J28" s="34"/>
      <c r="K28" s="36"/>
      <c r="L28" s="36"/>
      <c r="M28" s="34"/>
      <c r="N28" s="36"/>
      <c r="O28" s="34"/>
      <c r="P28" s="31" t="n">
        <f aca="false">MAX(0,$B$2-O28)</f>
        <v>2</v>
      </c>
      <c r="Q28" s="37"/>
      <c r="R28" s="34"/>
      <c r="S28" s="31"/>
    </row>
    <row r="29" customFormat="false" ht="15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  <c r="I29" s="39"/>
      <c r="J29" s="38"/>
      <c r="K29" s="40"/>
      <c r="L29" s="40"/>
      <c r="M29" s="38"/>
      <c r="N29" s="40"/>
      <c r="O29" s="38"/>
      <c r="P29" s="28" t="n">
        <f aca="false">MAX(0,$B$2-O29)</f>
        <v>2</v>
      </c>
      <c r="Q29" s="41"/>
      <c r="R29" s="38"/>
      <c r="S29" s="28"/>
    </row>
    <row r="30" customFormat="false" ht="15" hidden="false" customHeight="true" outlineLevel="0" collapsed="false">
      <c r="A30" s="34"/>
      <c r="B30" s="34"/>
      <c r="C30" s="34"/>
      <c r="D30" s="34"/>
      <c r="E30" s="34"/>
      <c r="F30" s="34"/>
      <c r="G30" s="34"/>
      <c r="H30" s="34"/>
      <c r="I30" s="35"/>
      <c r="J30" s="34"/>
      <c r="K30" s="36"/>
      <c r="L30" s="36"/>
      <c r="M30" s="34"/>
      <c r="N30" s="36"/>
      <c r="O30" s="34"/>
      <c r="P30" s="31" t="n">
        <f aca="false">MAX(0,$B$2-O30)</f>
        <v>2</v>
      </c>
      <c r="Q30" s="37"/>
      <c r="R30" s="34"/>
      <c r="S30" s="31"/>
    </row>
    <row r="31" customFormat="false" ht="15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  <c r="I31" s="39"/>
      <c r="J31" s="38"/>
      <c r="K31" s="40"/>
      <c r="L31" s="40"/>
      <c r="M31" s="38"/>
      <c r="N31" s="40"/>
      <c r="O31" s="38"/>
      <c r="P31" s="28" t="n">
        <f aca="false">MAX(0,$B$2-O31)</f>
        <v>2</v>
      </c>
      <c r="Q31" s="41"/>
      <c r="R31" s="38"/>
      <c r="S31" s="28"/>
    </row>
    <row r="32" customFormat="false" ht="15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5"/>
      <c r="J32" s="34"/>
      <c r="K32" s="36"/>
      <c r="L32" s="36"/>
      <c r="M32" s="34"/>
      <c r="N32" s="36"/>
      <c r="O32" s="34"/>
      <c r="P32" s="31" t="n">
        <f aca="false">MAX(0,$B$2-O32)</f>
        <v>2</v>
      </c>
      <c r="Q32" s="37"/>
      <c r="R32" s="34"/>
      <c r="S32" s="31"/>
    </row>
    <row r="33" customFormat="false" ht="15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  <c r="I33" s="39"/>
      <c r="J33" s="38"/>
      <c r="K33" s="40"/>
      <c r="L33" s="40"/>
      <c r="M33" s="38"/>
      <c r="N33" s="40"/>
      <c r="O33" s="38"/>
      <c r="P33" s="28" t="n">
        <f aca="false">MAX(0,$B$2-O33)</f>
        <v>2</v>
      </c>
      <c r="Q33" s="41"/>
      <c r="R33" s="38"/>
      <c r="S33" s="28"/>
    </row>
    <row r="34" customFormat="false" ht="15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5"/>
      <c r="J34" s="34"/>
      <c r="K34" s="36"/>
      <c r="L34" s="36"/>
      <c r="M34" s="34"/>
      <c r="N34" s="36"/>
      <c r="O34" s="34"/>
      <c r="P34" s="31" t="n">
        <f aca="false">MAX(0,$B$2-O34)</f>
        <v>2</v>
      </c>
      <c r="Q34" s="37"/>
      <c r="R34" s="34"/>
      <c r="S34" s="31"/>
    </row>
    <row r="35" customFormat="false" ht="1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9"/>
      <c r="J35" s="38"/>
      <c r="K35" s="40"/>
      <c r="L35" s="40"/>
      <c r="M35" s="38"/>
      <c r="N35" s="40"/>
      <c r="O35" s="38"/>
      <c r="P35" s="28" t="n">
        <f aca="false">MAX(0,$B$2-O35)</f>
        <v>2</v>
      </c>
      <c r="Q35" s="41"/>
      <c r="R35" s="38"/>
      <c r="S35" s="28"/>
    </row>
    <row r="36" customFormat="false" ht="15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5"/>
      <c r="J36" s="34"/>
      <c r="K36" s="36"/>
      <c r="L36" s="36"/>
      <c r="M36" s="34"/>
      <c r="N36" s="36"/>
      <c r="O36" s="34"/>
      <c r="P36" s="31" t="n">
        <f aca="false">MAX(0,$B$2-O36)</f>
        <v>2</v>
      </c>
      <c r="Q36" s="37"/>
      <c r="R36" s="34"/>
      <c r="S36" s="31"/>
    </row>
    <row r="37" customFormat="false" ht="1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9"/>
      <c r="J37" s="38"/>
      <c r="K37" s="40"/>
      <c r="L37" s="40"/>
      <c r="M37" s="38"/>
      <c r="N37" s="40"/>
      <c r="O37" s="38"/>
      <c r="P37" s="28" t="n">
        <f aca="false">MAX(0,$B$2-O37)</f>
        <v>2</v>
      </c>
      <c r="Q37" s="41"/>
      <c r="R37" s="38"/>
      <c r="S37" s="28"/>
    </row>
    <row r="38" customFormat="false" ht="1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5"/>
      <c r="J38" s="34"/>
      <c r="K38" s="36"/>
      <c r="L38" s="36"/>
      <c r="M38" s="34"/>
      <c r="N38" s="36"/>
      <c r="O38" s="34"/>
      <c r="P38" s="31" t="n">
        <f aca="false">MAX(0,$B$2-O38)</f>
        <v>2</v>
      </c>
      <c r="Q38" s="37"/>
      <c r="R38" s="34"/>
      <c r="S38" s="31"/>
    </row>
    <row r="39" customFormat="false" ht="15" hidden="false" customHeight="true" outlineLevel="0" collapsed="false">
      <c r="A39" s="38"/>
      <c r="B39" s="38"/>
      <c r="C39" s="38"/>
      <c r="D39" s="38"/>
      <c r="E39" s="38"/>
      <c r="F39" s="38"/>
      <c r="G39" s="38"/>
      <c r="H39" s="38"/>
      <c r="I39" s="39"/>
      <c r="J39" s="38"/>
      <c r="K39" s="40"/>
      <c r="L39" s="40"/>
      <c r="M39" s="38"/>
      <c r="N39" s="40"/>
      <c r="O39" s="38"/>
      <c r="P39" s="28" t="n">
        <f aca="false">MAX(0,$B$2-O39)</f>
        <v>2</v>
      </c>
      <c r="Q39" s="41"/>
      <c r="R39" s="38"/>
      <c r="S39" s="28"/>
    </row>
    <row r="40" customFormat="false" ht="15" hidden="fals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5"/>
      <c r="J40" s="34"/>
      <c r="K40" s="36"/>
      <c r="L40" s="36"/>
      <c r="M40" s="34"/>
      <c r="N40" s="36"/>
      <c r="O40" s="34"/>
      <c r="P40" s="31" t="n">
        <f aca="false">MAX(0,$B$2-O40)</f>
        <v>2</v>
      </c>
      <c r="Q40" s="37"/>
      <c r="R40" s="34"/>
      <c r="S40" s="31"/>
    </row>
    <row r="41" customFormat="false" ht="15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  <c r="I41" s="39"/>
      <c r="J41" s="38"/>
      <c r="K41" s="40"/>
      <c r="L41" s="40"/>
      <c r="M41" s="38"/>
      <c r="N41" s="40"/>
      <c r="O41" s="38"/>
      <c r="P41" s="28" t="n">
        <f aca="false">MAX(0,$B$2-O41)</f>
        <v>2</v>
      </c>
      <c r="Q41" s="41"/>
      <c r="R41" s="38"/>
      <c r="S41" s="28"/>
    </row>
    <row r="42" customFormat="false" ht="15" hidden="false" customHeight="true" outlineLevel="0" collapsed="false">
      <c r="A42" s="34"/>
      <c r="B42" s="34"/>
      <c r="C42" s="34"/>
      <c r="D42" s="34"/>
      <c r="E42" s="34"/>
      <c r="F42" s="34"/>
      <c r="G42" s="34"/>
      <c r="H42" s="34"/>
      <c r="I42" s="35"/>
      <c r="J42" s="34"/>
      <c r="K42" s="36"/>
      <c r="L42" s="36"/>
      <c r="M42" s="34"/>
      <c r="N42" s="36"/>
      <c r="O42" s="34"/>
      <c r="P42" s="31" t="n">
        <f aca="false">MAX(0,$B$2-O42)</f>
        <v>2</v>
      </c>
      <c r="Q42" s="37"/>
      <c r="R42" s="34"/>
      <c r="S42" s="31"/>
    </row>
    <row r="43" customFormat="false" ht="15" hidden="false" customHeight="true" outlineLevel="0" collapsed="false">
      <c r="A43" s="38"/>
      <c r="B43" s="38"/>
      <c r="C43" s="38"/>
      <c r="D43" s="38"/>
      <c r="E43" s="38"/>
      <c r="F43" s="38"/>
      <c r="G43" s="38"/>
      <c r="H43" s="38"/>
      <c r="I43" s="39"/>
      <c r="J43" s="38"/>
      <c r="K43" s="40"/>
      <c r="L43" s="40"/>
      <c r="M43" s="38"/>
      <c r="N43" s="40"/>
      <c r="O43" s="38"/>
      <c r="P43" s="28" t="n">
        <f aca="false">MAX(0,$B$2-O43)</f>
        <v>2</v>
      </c>
      <c r="Q43" s="41"/>
      <c r="R43" s="38"/>
      <c r="S43" s="28"/>
    </row>
    <row r="44" customFormat="false" ht="15" hidden="fals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5"/>
      <c r="J44" s="34"/>
      <c r="K44" s="36"/>
      <c r="L44" s="36"/>
      <c r="M44" s="34"/>
      <c r="N44" s="36"/>
      <c r="O44" s="34"/>
      <c r="P44" s="31" t="n">
        <f aca="false">MAX(0,$B$2-O44)</f>
        <v>2</v>
      </c>
      <c r="Q44" s="37"/>
      <c r="R44" s="34"/>
      <c r="S44" s="31"/>
    </row>
    <row r="45" customFormat="false" ht="15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  <c r="I45" s="39"/>
      <c r="J45" s="38"/>
      <c r="K45" s="40"/>
      <c r="L45" s="40"/>
      <c r="M45" s="38"/>
      <c r="N45" s="40"/>
      <c r="O45" s="38"/>
      <c r="P45" s="28" t="n">
        <f aca="false">MAX(0,$B$2-O45)</f>
        <v>2</v>
      </c>
      <c r="Q45" s="41"/>
      <c r="R45" s="38"/>
      <c r="S45" s="28"/>
    </row>
    <row r="46" customFormat="false" ht="15" hidden="false" customHeight="true" outlineLevel="0" collapsed="false">
      <c r="A46" s="34"/>
      <c r="B46" s="34"/>
      <c r="C46" s="34"/>
      <c r="D46" s="34"/>
      <c r="E46" s="34"/>
      <c r="F46" s="34"/>
      <c r="G46" s="34"/>
      <c r="H46" s="34"/>
      <c r="I46" s="35"/>
      <c r="J46" s="34"/>
      <c r="K46" s="36"/>
      <c r="L46" s="36"/>
      <c r="M46" s="34"/>
      <c r="N46" s="36"/>
      <c r="O46" s="34"/>
      <c r="P46" s="31" t="n">
        <f aca="false">MAX(0,$B$2-O46)</f>
        <v>2</v>
      </c>
      <c r="Q46" s="37"/>
      <c r="R46" s="34"/>
      <c r="S46" s="31"/>
    </row>
    <row r="47" customFormat="false" ht="15" hidden="false" customHeight="true" outlineLevel="0" collapsed="false">
      <c r="A47" s="38"/>
      <c r="B47" s="38"/>
      <c r="C47" s="38"/>
      <c r="D47" s="38"/>
      <c r="E47" s="38"/>
      <c r="F47" s="38"/>
      <c r="G47" s="38"/>
      <c r="H47" s="38"/>
      <c r="I47" s="39"/>
      <c r="J47" s="38"/>
      <c r="K47" s="40"/>
      <c r="L47" s="40"/>
      <c r="M47" s="38"/>
      <c r="N47" s="40"/>
      <c r="O47" s="38"/>
      <c r="P47" s="28" t="n">
        <f aca="false">MAX(0,$B$2-O47)</f>
        <v>2</v>
      </c>
      <c r="Q47" s="41"/>
      <c r="R47" s="38"/>
      <c r="S47" s="28"/>
    </row>
    <row r="48" customFormat="false" ht="15" hidden="false" customHeight="true" outlineLevel="0" collapsed="false">
      <c r="A48" s="34"/>
      <c r="B48" s="34"/>
      <c r="C48" s="34"/>
      <c r="D48" s="34"/>
      <c r="E48" s="34"/>
      <c r="F48" s="34"/>
      <c r="G48" s="34"/>
      <c r="H48" s="34"/>
      <c r="I48" s="35"/>
      <c r="J48" s="34"/>
      <c r="K48" s="36"/>
      <c r="L48" s="36"/>
      <c r="M48" s="34"/>
      <c r="N48" s="36"/>
      <c r="O48" s="34"/>
      <c r="P48" s="31" t="n">
        <f aca="false">MAX(0,$B$2-O48)</f>
        <v>2</v>
      </c>
      <c r="Q48" s="37"/>
      <c r="R48" s="34"/>
      <c r="S48" s="31"/>
    </row>
    <row r="49" customFormat="false" ht="15" hidden="false" customHeight="true" outlineLevel="0" collapsed="false">
      <c r="A49" s="38"/>
      <c r="B49" s="38"/>
      <c r="C49" s="38"/>
      <c r="D49" s="38"/>
      <c r="E49" s="38"/>
      <c r="F49" s="38"/>
      <c r="G49" s="38"/>
      <c r="H49" s="38"/>
      <c r="I49" s="39"/>
      <c r="J49" s="38"/>
      <c r="K49" s="40"/>
      <c r="L49" s="40"/>
      <c r="M49" s="38"/>
      <c r="N49" s="40"/>
      <c r="O49" s="38"/>
      <c r="P49" s="28" t="n">
        <f aca="false">MAX(0,$B$2-O49)</f>
        <v>2</v>
      </c>
      <c r="Q49" s="41"/>
      <c r="R49" s="38"/>
      <c r="S49" s="28"/>
    </row>
    <row r="50" customFormat="false" ht="15" hidden="false" customHeight="true" outlineLevel="0" collapsed="false">
      <c r="A50" s="34"/>
      <c r="B50" s="34"/>
      <c r="C50" s="34"/>
      <c r="D50" s="34"/>
      <c r="E50" s="34"/>
      <c r="F50" s="34"/>
      <c r="G50" s="34"/>
      <c r="H50" s="34"/>
      <c r="I50" s="35"/>
      <c r="J50" s="34"/>
      <c r="K50" s="36"/>
      <c r="L50" s="36"/>
      <c r="M50" s="34"/>
      <c r="N50" s="36"/>
      <c r="O50" s="34"/>
      <c r="P50" s="31" t="n">
        <f aca="false">MAX(0,$B$2-O50)</f>
        <v>2</v>
      </c>
      <c r="Q50" s="37"/>
      <c r="R50" s="34"/>
      <c r="S50" s="31"/>
    </row>
  </sheetData>
  <mergeCells count="2">
    <mergeCell ref="A1:R1"/>
    <mergeCell ref="C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2026-09-08T23:44:59Z</dcterms:created>
  <dc:creator>openpyxl</dc:creator>
  <dc:description/>
  <dc:language>en-US</dc:language>
  <cp:lastModifiedBy/>
  <dcterms:modified xsi:type="dcterms:W3CDTF">2026-09-09T20:17:55Z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